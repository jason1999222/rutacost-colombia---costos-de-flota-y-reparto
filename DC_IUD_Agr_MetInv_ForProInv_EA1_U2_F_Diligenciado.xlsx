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560" yWindow="460" windowWidth="20560" windowHeight="21060" tabRatio="600" firstSheet="0" activeTab="0" autoFilterDateGrouping="1"/>
  </bookViews>
  <sheets>
    <sheet xmlns:r="http://schemas.openxmlformats.org/officeDocument/2006/relationships" name="Hoja1" sheetId="1" state="visible" r:id="rId1"/>
  </sheets>
  <definedNames/>
  <calcPr calcId="162913" fullCalcOnLoad="1" refMode="R1C1"/>
</workbook>
</file>

<file path=xl/styles.xml><?xml version="1.0" encoding="utf-8"?>
<styleSheet xmlns="http://schemas.openxmlformats.org/spreadsheetml/2006/main">
  <numFmts count="2">
    <numFmt numFmtId="164" formatCode="_-&quot;$&quot;\ * #,##0_-;\-&quot;$&quot;\ * #,##0_-;_-&quot;$&quot;\ * &quot;-&quot;_-;_-@_-"/>
    <numFmt numFmtId="165" formatCode="$#,##0"/>
  </numFmts>
  <fonts count="11">
    <font>
      <name val="Calibri"/>
      <family val="2"/>
      <color theme="1"/>
      <sz val="11"/>
      <scheme val="minor"/>
    </font>
    <font>
      <name val="Calibri"/>
      <family val="2"/>
      <color theme="1"/>
      <sz val="11"/>
      <scheme val="minor"/>
    </font>
    <font>
      <name val="Helvetica LT Std Light"/>
      <family val="2"/>
      <color theme="1"/>
      <sz val="11"/>
    </font>
    <font>
      <name val="Arial"/>
      <family val="2"/>
      <b val="1"/>
      <color theme="1"/>
      <sz val="11"/>
    </font>
    <font>
      <name val="Arial"/>
      <family val="2"/>
      <color theme="1"/>
      <sz val="11"/>
    </font>
    <font>
      <name val="Arial"/>
      <family val="2"/>
      <color theme="1"/>
      <sz val="11"/>
      <u val="single"/>
    </font>
    <font>
      <name val="Arial"/>
      <family val="2"/>
      <b val="1"/>
      <color theme="1"/>
      <sz val="11"/>
      <u val="single"/>
    </font>
    <font>
      <name val="Arial"/>
      <family val="2"/>
      <b val="1"/>
      <color theme="1"/>
      <sz val="10"/>
    </font>
    <font>
      <name val="Arial"/>
      <b val="1"/>
      <color rgb="00000000"/>
      <sz val="10.5"/>
    </font>
    <font>
      <name val="Arial"/>
      <color rgb="00000000"/>
      <sz val="9.5"/>
    </font>
    <font>
      <name val="Arial"/>
      <b val="1"/>
      <color rgb="00000000"/>
      <sz val="9.5"/>
    </font>
  </fonts>
  <fills count="3">
    <fill>
      <patternFill/>
    </fill>
    <fill>
      <patternFill patternType="gray125"/>
    </fill>
    <fill>
      <patternFill patternType="solid">
        <fgColor theme="0" tint="-0.0499893185216834"/>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1" fillId="0" borderId="0"/>
    <xf numFmtId="164" fontId="1" fillId="0" borderId="0"/>
  </cellStyleXfs>
  <cellXfs count="35">
    <xf numFmtId="0" fontId="0" fillId="0" borderId="0" pivotButton="0" quotePrefix="0" xfId="0"/>
    <xf numFmtId="0" fontId="2" fillId="0" borderId="0"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xf>
    <xf numFmtId="0" fontId="4" fillId="0" borderId="1" applyAlignment="1" pivotButton="0" quotePrefix="0" xfId="0">
      <alignment horizontal="center"/>
    </xf>
    <xf numFmtId="0" fontId="3" fillId="2" borderId="1" applyAlignment="1" pivotButton="0" quotePrefix="0" xfId="0">
      <alignment horizontal="left" vertical="top"/>
    </xf>
    <xf numFmtId="0" fontId="5" fillId="0" borderId="1" applyAlignment="1" pivotButton="0" quotePrefix="0" xfId="0">
      <alignment horizontal="left"/>
    </xf>
    <xf numFmtId="0" fontId="6" fillId="0" borderId="1" applyAlignment="1" pivotButton="0" quotePrefix="0" xfId="0">
      <alignment horizontal="left" vertical="top" wrapText="1"/>
    </xf>
    <xf numFmtId="0" fontId="4" fillId="0" borderId="1" applyAlignment="1" pivotButton="0" quotePrefix="0" xfId="0">
      <alignment horizontal="left" vertical="top" wrapText="1"/>
    </xf>
    <xf numFmtId="0" fontId="3" fillId="0" borderId="1" applyAlignment="1" pivotButton="0" quotePrefix="0" xfId="0">
      <alignment horizontal="left" vertical="top" wrapText="1"/>
    </xf>
    <xf numFmtId="0" fontId="4" fillId="0" borderId="1" applyAlignment="1" pivotButton="0" quotePrefix="0" xfId="0">
      <alignment horizontal="left" vertical="top"/>
    </xf>
    <xf numFmtId="0" fontId="6" fillId="0" borderId="1" applyAlignment="1" pivotButton="0" quotePrefix="0" xfId="0">
      <alignment horizontal="left" vertical="top"/>
    </xf>
    <xf numFmtId="0" fontId="7" fillId="2" borderId="1" applyAlignment="1" pivotButton="0" quotePrefix="0" xfId="0">
      <alignment horizontal="center" vertical="center" wrapText="1"/>
    </xf>
    <xf numFmtId="0" fontId="7" fillId="2" borderId="1" applyAlignment="1" pivotButton="0" quotePrefix="0" xfId="0">
      <alignment horizontal="center" vertical="center"/>
    </xf>
    <xf numFmtId="0" fontId="7" fillId="2" borderId="1" applyAlignment="1" pivotButton="0" quotePrefix="0" xfId="0">
      <alignment horizontal="center" vertical="center"/>
    </xf>
    <xf numFmtId="0" fontId="4" fillId="0" borderId="1" pivotButton="0" quotePrefix="0" xfId="0"/>
    <xf numFmtId="0" fontId="7" fillId="2" borderId="1" applyAlignment="1" pivotButton="0" quotePrefix="0" xfId="0">
      <alignment horizontal="center" vertical="center" wrapText="1"/>
    </xf>
    <xf numFmtId="164" fontId="4" fillId="0" borderId="1" applyAlignment="1" pivotButton="0" quotePrefix="0" xfId="1">
      <alignment horizontal="center"/>
    </xf>
    <xf numFmtId="0" fontId="3" fillId="2" borderId="1" applyAlignment="1" pivotButton="0" quotePrefix="0" xfId="0">
      <alignment horizontal="right"/>
    </xf>
    <xf numFmtId="164" fontId="4" fillId="2" borderId="1" applyAlignment="1" pivotButton="0" quotePrefix="0" xfId="1">
      <alignment horizontal="right"/>
    </xf>
    <xf numFmtId="0" fontId="0" fillId="0" borderId="4" pivotButton="0" quotePrefix="0" xfId="0"/>
    <xf numFmtId="0" fontId="0" fillId="0" borderId="5" pivotButton="0" quotePrefix="0" xfId="0"/>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9" fillId="0" borderId="1" applyAlignment="1" pivotButton="0" quotePrefix="0" xfId="0">
      <alignment horizontal="justify" vertical="top" wrapText="1"/>
    </xf>
    <xf numFmtId="0" fontId="9" fillId="0" borderId="1" applyAlignment="1" pivotButton="0" quotePrefix="0" xfId="0">
      <alignment horizontal="left" vertical="top" wrapText="1"/>
    </xf>
    <xf numFmtId="0" fontId="10"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10" fillId="0" borderId="1" applyAlignment="1" pivotButton="0" quotePrefix="0" xfId="0">
      <alignment horizontal="left" vertical="center" wrapText="1"/>
    </xf>
    <xf numFmtId="165" fontId="9" fillId="0" borderId="1" applyAlignment="1" pivotButton="0" quotePrefix="0" xfId="0">
      <alignment horizontal="right" vertical="center" wrapText="1"/>
    </xf>
    <xf numFmtId="165" fontId="10" fillId="0" borderId="1" applyAlignment="1" pivotButton="0" quotePrefix="0" xfId="1">
      <alignment horizontal="right" vertical="center" wrapText="1"/>
    </xf>
    <xf numFmtId="165" fontId="8" fillId="2" borderId="1" applyAlignment="1" pivotButton="0" quotePrefix="0" xfId="1">
      <alignment horizontal="right" vertical="center" wrapText="1"/>
    </xf>
  </cellXfs>
  <cellStyles count="2">
    <cellStyle name="Normal" xfId="0" builtinId="0"/>
    <cellStyle name="Currency [0]" xfId="1" builtinId="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238125</colOff>
      <row>1</row>
      <rowOff>47625</rowOff>
    </from>
    <to>
      <col>2</col>
      <colOff>123484</colOff>
      <row>1</row>
      <rowOff>590550</rowOff>
    </to>
    <pic>
      <nvPicPr>
        <cNvPr id="2" name="image1.png"/>
        <cNvPicPr/>
      </nvPicPr>
      <blipFill rotWithShape="1">
        <a:blip xmlns:a="http://schemas.openxmlformats.org/drawingml/2006/main" xmlns:r="http://schemas.openxmlformats.org/officeDocument/2006/relationships" r:embed="rId1"/>
        <a:srcRect xmlns:a="http://schemas.openxmlformats.org/drawingml/2006/main" l="9169" t="18023" r="3156" b="25355"/>
        <a:stretch xmlns:a="http://schemas.openxmlformats.org/drawingml/2006/main">
          <a:fillRect/>
        </a:stretch>
      </blipFill>
      <spPr bwMode="auto">
        <a:xfrm xmlns:a="http://schemas.openxmlformats.org/drawingml/2006/main">
          <a:off x="466725" y="238125"/>
          <a:ext cx="1085509"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2:M91"/>
  <sheetViews>
    <sheetView showGridLines="0" tabSelected="1" topLeftCell="A46" zoomScale="128" zoomScaleNormal="128" workbookViewId="0">
      <selection activeCell="B13" sqref="B13:M13"/>
    </sheetView>
  </sheetViews>
  <sheetFormatPr baseColWidth="10" defaultRowHeight="15"/>
  <cols>
    <col width="3.5" customWidth="1" min="1" max="1"/>
    <col width="17.5" customWidth="1" min="2" max="2"/>
    <col width="26.5" customWidth="1" min="3" max="3"/>
    <col width="6.5" customWidth="1" min="4" max="4"/>
    <col width="6.5" customWidth="1" min="5" max="5"/>
    <col width="6.5" customWidth="1" min="6" max="6"/>
    <col width="6.5" customWidth="1" min="7" max="7"/>
    <col width="6.5" customWidth="1" min="8" max="8"/>
    <col width="7.5" customWidth="1" min="9" max="9"/>
    <col width="7.5" customWidth="1" min="10" max="10"/>
    <col width="9.5" customWidth="1" min="11" max="11"/>
    <col width="9.5" customWidth="1" min="12" max="12"/>
    <col width="9.5" customWidth="1" min="13" max="13"/>
  </cols>
  <sheetData>
    <row r="2" ht="48.75" customHeight="1">
      <c r="B2" s="2" t="inlineStr">
        <is>
          <t>INSTITUCIÓN UNIVERSITARIA
DIGITAL DE ANTIOQUA</t>
        </is>
      </c>
      <c r="C2" s="22" t="n"/>
      <c r="D2" s="22" t="n"/>
      <c r="E2" s="22" t="n"/>
      <c r="F2" s="22" t="n"/>
      <c r="G2" s="22" t="n"/>
      <c r="H2" s="22" t="n"/>
      <c r="I2" s="22" t="n"/>
      <c r="J2" s="22" t="n"/>
      <c r="K2" s="22" t="n"/>
      <c r="L2" s="22" t="n"/>
      <c r="M2" s="23" t="n"/>
    </row>
    <row r="3">
      <c r="B3" s="3" t="inlineStr">
        <is>
          <t>PROPUESTA PROYECTO DE INVESTIGACIÓN</t>
        </is>
      </c>
      <c r="C3" s="22" t="n"/>
      <c r="D3" s="22" t="n"/>
      <c r="E3" s="22" t="n"/>
      <c r="F3" s="22" t="n"/>
      <c r="G3" s="22" t="n"/>
      <c r="H3" s="22" t="n"/>
      <c r="I3" s="22" t="n"/>
      <c r="J3" s="22" t="n"/>
      <c r="K3" s="22" t="n"/>
      <c r="L3" s="22" t="n"/>
      <c r="M3" s="23" t="n"/>
    </row>
    <row r="4">
      <c r="B4" s="4" t="inlineStr">
        <is>
          <t>I. DATOS DE IDENTIFICACIÓN</t>
        </is>
      </c>
      <c r="C4" s="22" t="n"/>
      <c r="D4" s="22" t="n"/>
      <c r="E4" s="22" t="n"/>
      <c r="F4" s="22" t="n"/>
      <c r="G4" s="22" t="n"/>
      <c r="H4" s="22" t="n"/>
      <c r="I4" s="22" t="n"/>
      <c r="J4" s="22" t="n"/>
      <c r="K4" s="22" t="n"/>
      <c r="L4" s="22" t="n"/>
      <c r="M4" s="23" t="n"/>
    </row>
    <row r="5">
      <c r="B5" s="3" t="inlineStr">
        <is>
          <t>Nombres y apellidos del estudiante</t>
        </is>
      </c>
      <c r="C5" s="22" t="n"/>
      <c r="D5" s="22" t="n"/>
      <c r="E5" s="22" t="n"/>
      <c r="F5" s="22" t="n"/>
      <c r="G5" s="23" t="n"/>
      <c r="H5" s="5" t="inlineStr">
        <is>
          <t>Correo electrónico</t>
        </is>
      </c>
      <c r="I5" s="22" t="n"/>
      <c r="J5" s="22" t="n"/>
      <c r="K5" s="22" t="n"/>
      <c r="L5" s="22" t="n"/>
      <c r="M5" s="23" t="n"/>
    </row>
    <row r="6">
      <c r="B6" s="24" t="inlineStr">
        <is>
          <t>Jair Andrés Restrepo</t>
        </is>
      </c>
      <c r="C6" s="22" t="n"/>
      <c r="D6" s="22" t="n"/>
      <c r="E6" s="22" t="n"/>
      <c r="F6" s="22" t="n"/>
      <c r="G6" s="23" t="n"/>
      <c r="H6" s="25" t="inlineStr">
        <is>
          <t>jair.restrepo@iudigital.edu.co</t>
        </is>
      </c>
      <c r="I6" s="22" t="n"/>
      <c r="J6" s="22" t="n"/>
      <c r="K6" s="22" t="n"/>
      <c r="L6" s="22" t="n"/>
      <c r="M6" s="23" t="n"/>
    </row>
    <row r="7">
      <c r="B7" s="5" t="inlineStr">
        <is>
          <t>Programa académico</t>
        </is>
      </c>
      <c r="C7" s="22" t="n"/>
      <c r="D7" s="22" t="n"/>
      <c r="E7" s="22" t="n"/>
      <c r="F7" s="22" t="n"/>
      <c r="G7" s="23" t="n"/>
      <c r="H7" s="5" t="inlineStr">
        <is>
          <t>Semestre</t>
        </is>
      </c>
      <c r="I7" s="22" t="n"/>
      <c r="J7" s="23" t="n"/>
      <c r="K7" s="5" t="inlineStr">
        <is>
          <t>Código del estudiante</t>
        </is>
      </c>
      <c r="L7" s="22" t="n"/>
      <c r="M7" s="23" t="n"/>
    </row>
    <row r="8">
      <c r="B8" s="25" t="inlineStr">
        <is>
          <t>Ingeniería Ambiental</t>
        </is>
      </c>
      <c r="C8" s="22" t="n"/>
      <c r="D8" s="22" t="n"/>
      <c r="E8" s="22" t="n"/>
      <c r="F8" s="22" t="n"/>
      <c r="G8" s="23" t="n"/>
      <c r="H8" s="25" t="inlineStr">
        <is>
          <t>Semestre 8</t>
        </is>
      </c>
      <c r="I8" s="22" t="n"/>
      <c r="J8" s="23" t="n"/>
      <c r="K8" s="25" t="inlineStr">
        <is>
          <t>1036654218</t>
        </is>
      </c>
      <c r="L8" s="22" t="n"/>
      <c r="M8" s="23" t="n"/>
    </row>
    <row r="9">
      <c r="B9" s="7" t="inlineStr">
        <is>
          <t>II. IINFORMACIÓN GENERAL DEL PROYECTO</t>
        </is>
      </c>
      <c r="C9" s="22" t="n"/>
      <c r="D9" s="22" t="n"/>
      <c r="E9" s="22" t="n"/>
      <c r="F9" s="22" t="n"/>
      <c r="G9" s="22" t="n"/>
      <c r="H9" s="22" t="n"/>
      <c r="I9" s="22" t="n"/>
      <c r="J9" s="22" t="n"/>
      <c r="K9" s="22" t="n"/>
      <c r="L9" s="22" t="n"/>
      <c r="M9" s="23" t="n"/>
    </row>
    <row r="10">
      <c r="B10" s="8" t="inlineStr">
        <is>
          <t>Título del proyecto: la extención del título no podrá superar las 20 palabras.</t>
        </is>
      </c>
      <c r="C10" s="22" t="n"/>
      <c r="D10" s="22" t="n"/>
      <c r="E10" s="22" t="n"/>
      <c r="F10" s="22" t="n"/>
      <c r="G10" s="22" t="n"/>
      <c r="H10" s="22" t="n"/>
      <c r="I10" s="22" t="n"/>
      <c r="J10" s="22" t="n"/>
      <c r="K10" s="22" t="n"/>
      <c r="L10" s="22" t="n"/>
      <c r="M10" s="23" t="n"/>
    </row>
    <row r="11" ht="42" customHeight="1">
      <c r="B11" s="24" t="inlineStr">
        <is>
          <t>Transición hacia Modelos de Economía Circular en la Gestión Integral de Residuos Sólidos Urbanos: Análisis Sistemático de Evidencia y Estrategias Aplicadas</t>
        </is>
      </c>
      <c r="C11" s="22" t="n"/>
      <c r="D11" s="22" t="n"/>
      <c r="E11" s="22" t="n"/>
      <c r="F11" s="22" t="n"/>
      <c r="G11" s="22" t="n"/>
      <c r="H11" s="22" t="n"/>
      <c r="I11" s="22" t="n"/>
      <c r="J11" s="22" t="n"/>
      <c r="K11" s="22" t="n"/>
      <c r="L11" s="22" t="n"/>
      <c r="M11" s="23" t="n"/>
    </row>
    <row r="12" ht="45.75" customHeight="1">
      <c r="B12" s="9" t="inlineStr">
        <is>
          <t>Resumen: breve descripción del proyecto de investigación, en el cual se presentan el problema de investigación, el objetivo general, la fundamentación teórica que lo sustenta, la metodología empleada y las técnicas empleadas para el análisis de la información. No debe exceder las 300 palabras.</t>
        </is>
      </c>
      <c r="C12" s="22" t="n"/>
      <c r="D12" s="22" t="n"/>
      <c r="E12" s="22" t="n"/>
      <c r="F12" s="22" t="n"/>
      <c r="G12" s="22" t="n"/>
      <c r="H12" s="22" t="n"/>
      <c r="I12" s="22" t="n"/>
      <c r="J12" s="22" t="n"/>
      <c r="K12" s="22" t="n"/>
      <c r="L12" s="22" t="n"/>
      <c r="M12" s="23" t="n"/>
    </row>
    <row r="13" ht="175" customHeight="1">
      <c r="B13" s="26" t="inlineStr">
        <is>
          <t>La gestión tradicional lineal de residuos sólidos urbanos en América Latina enfrenta una severa crisis por el agotamiento acelerado de la vida útil de los rellenos sanitarios, la baja tasa de aprovechamiento material (10%-15%) y la elevada emisión de gases de efecto invernadero y lixiviados contaminantes. El objetivo general de esta investigación es analizar de manera sistemática y comparativa la literatura científica reciente sobre modelos y estrategias de economía circular aplicadas a la gestión de residuos urbanos, con el fin de identificar soluciones tecnológicas, operativas y normativas viables para la región. La fundamentación teórica se sustenta en la jerarquía integral de las 9R, el tratamiento biológico masivo de biorresiduos (50%-65% de la masa total), la valorización mecánica e industrial de resinas plásticas y los principios de reciclaje inclusivo y responsabilidad extendida del productor. La metodología empleada corresponde a una revisión sistemática de literatura fundamentada en la declaración PRISMA, examinando rigurosamente seis artículos científicos indexados publicados entre 2022 y 2026 en Scopus, ScienceDirect, MDPI, SciELO y Redalyc. Las técnicas de análisis incluyeron matrices comparativas de parámetros operacionales, balances de masa y carbono, y evaluación cualitativa de marcos de gobernanza territorial. Los principales hallazgos demuestran que la valorización obligatoria de residuos orgánicos mediante compostaje/biodigestión y el reciclaje tecnificado de polímeros permiten desviar más del 60% de los residuos confinados y mitigar entre un 30% y un 39% de las emisiones de gases de efecto invernadero hacia el año 2050.</t>
        </is>
      </c>
      <c r="C13" s="22" t="n"/>
      <c r="D13" s="22" t="n"/>
      <c r="E13" s="22" t="n"/>
      <c r="F13" s="22" t="n"/>
      <c r="G13" s="22" t="n"/>
      <c r="H13" s="22" t="n"/>
      <c r="I13" s="22" t="n"/>
      <c r="J13" s="22" t="n"/>
      <c r="K13" s="22" t="n"/>
      <c r="L13" s="22" t="n"/>
      <c r="M13" s="23" t="n"/>
    </row>
    <row r="14" ht="46" customHeight="1">
      <c r="B14" s="10" t="inlineStr">
        <is>
          <t>Planteamiento del problema: formular el problema de la investigación describiendo las causas y síntomas identificadas. Reforzar la información con bibliografía actualizada. Al finalizar la formulación del problema, plantear la pregunta de investigación. No debe exceder las 300 palabras.</t>
        </is>
      </c>
      <c r="C14" s="22" t="n"/>
      <c r="D14" s="22" t="n"/>
      <c r="E14" s="22" t="n"/>
      <c r="F14" s="22" t="n"/>
      <c r="G14" s="22" t="n"/>
      <c r="H14" s="22" t="n"/>
      <c r="I14" s="22" t="n"/>
      <c r="J14" s="22" t="n"/>
      <c r="K14" s="22" t="n"/>
      <c r="L14" s="22" t="n"/>
      <c r="M14" s="23" t="n"/>
    </row>
    <row r="15" ht="175" customHeight="1">
      <c r="B15" s="26" t="inlineStr">
        <is>
          <t>En América Latina y Colombia, la gestión integral de residuos sólidos urbanos opera bajo un modelo netamente lineal insostenible basado en la extracción masiva, el consumo acelerado y el enterramiento indiscriminado. A pesar de que las coberturas de recolección en los cascos urbanos superan el 90%, las tasas efectivas de aprovechamiento material apenas oscilan entre el 10% y el 15%, provocando que la mayoría de los residuos reciclables y orgánicos saturen rellenos sanitarios con licencias vencidas o terminen en botaderos a cielo abierto. Esta disposición genera graves impactos socioambientales: la descomposición anaerobia incontrolada de biorresiduos produce lixiviados tóxicos cargados de metales pesados y grandes volúmenes de gas metano (CH4), cuyo potencial de calentamiento global es hasta 28 veces superior al dióxido de carbono. Paralelamente, los plásticos ocupan más del 40% del volumen en celdas de confinamiento, fragmentándose en microplásticos persistentes. En el plano operativo, persiste una deficiente cultura ciudadana de separación en la fuente y la recuperación recae en recicladores de oficio en condiciones de informalidad y vulnerabilidad económica, mientras las administraciones locales enfrentan debilidad técnica para hacer cumplir instrumentos como la Responsabilidad Extendida del Productor. Ante esta problemática, se formula la siguiente pregunta de investigación: ¿Cuáles son las estrategias tecnológicas, operativas y normativas de economía circular más efectivas para optimizar la gestión integral de residuos sólidos urbanos y mitigar sus impactos ambientales en contextos urbanos latinoamericanos?</t>
        </is>
      </c>
      <c r="C15" s="22" t="n"/>
      <c r="D15" s="22" t="n"/>
      <c r="E15" s="22" t="n"/>
      <c r="F15" s="22" t="n"/>
      <c r="G15" s="22" t="n"/>
      <c r="H15" s="22" t="n"/>
      <c r="I15" s="22" t="n"/>
      <c r="J15" s="22" t="n"/>
      <c r="K15" s="22" t="n"/>
      <c r="L15" s="22" t="n"/>
      <c r="M15" s="23" t="n"/>
    </row>
    <row r="16" ht="65" customHeight="1">
      <c r="B16" s="27" t="inlineStr">
        <is>
          <t>Objetivos
Objetivo general: Analizar de manera sistemática y comparativa la evidencia científica reciente sobre modelos y estrategias de economía circular aplicadas a la gestión integral de residuos sólidos urbanos, con el fin de identificar soluciones tecnológicas, operativas y normativas sostenibles aplicables a contextos urbanos latinoamericanos.</t>
        </is>
      </c>
      <c r="C16" s="22" t="n"/>
      <c r="D16" s="22" t="n"/>
      <c r="E16" s="22" t="n"/>
      <c r="F16" s="22" t="n"/>
      <c r="G16" s="22" t="n"/>
      <c r="H16" s="22" t="n"/>
      <c r="I16" s="22" t="n"/>
      <c r="J16" s="22" t="n"/>
      <c r="K16" s="22" t="n"/>
      <c r="L16" s="22" t="n"/>
      <c r="M16" s="23" t="n"/>
    </row>
    <row r="17" ht="95" customHeight="1">
      <c r="B17" s="27" t="inlineStr">
        <is>
          <t>Objetivos específicos:
1. Caracterizar los flujos críticos de residuos sólidos urbanos (biorresiduos y polímeros plásticos) y su potencial de valorización mediante esquemas circulares de aprovechamiento biológico y mecánico.
2. Evaluar el impacto ambiental, operativo y de mitigación de gases de efecto invernadero (GEI) de las tecnologías limpias y modelos de economía circular frente al confinamiento lineal tradicional.
3. Formular lineamientos estratégicos de gobernanza inclusiva, responsabilidad extendida del productor y trazabilidad digital para la optimización de los sistemas de aprovechamiento municipal.</t>
        </is>
      </c>
      <c r="C17" s="22" t="n"/>
      <c r="D17" s="22" t="n"/>
      <c r="E17" s="22" t="n"/>
      <c r="F17" s="22" t="n"/>
      <c r="G17" s="22" t="n"/>
      <c r="H17" s="22" t="n"/>
      <c r="I17" s="22" t="n"/>
      <c r="J17" s="22" t="n"/>
      <c r="K17" s="22" t="n"/>
      <c r="L17" s="22" t="n"/>
      <c r="M17" s="23" t="n"/>
    </row>
    <row r="18" ht="32.25" customHeight="1">
      <c r="B18" s="10" t="inlineStr">
        <is>
          <t>Justificación: exponer las razones/factores que determinan la necesidad y pertinencia de realizar la investigación. No debe exceder las 300 palabras.</t>
        </is>
      </c>
      <c r="C18" s="22" t="n"/>
      <c r="D18" s="22" t="n"/>
      <c r="E18" s="22" t="n"/>
      <c r="F18" s="22" t="n"/>
      <c r="G18" s="22" t="n"/>
      <c r="H18" s="22" t="n"/>
      <c r="I18" s="22" t="n"/>
      <c r="J18" s="22" t="n"/>
      <c r="K18" s="22" t="n"/>
      <c r="L18" s="22" t="n"/>
      <c r="M18" s="23" t="n"/>
    </row>
    <row r="19" ht="190" customHeight="1">
      <c r="B19" s="26" t="inlineStr">
        <is>
          <t>La transición hacia modelos de economía circular en la gestión de residuos sólidos urbanos constituye una necesidad apremiante e impostergable para Colombia y América Latina. En la actualidad, las principales urbes afrontan una emergencia sanitaria y ambiental inminente debido al colapso funcional de los rellenos sanitarios y la proliferación de botaderos a cielo abierto que contaminan fuentes hídricas y suelos. Aunque Colombia cuenta con avances de política pública como la Estrategia Nacional de Economía Circular y la Resolución 1407 de 2018 (Responsabilidad Extendida del Productor), en la práctica subsiste un rezago crítico en las metas de aprovechamiento, perdiéndose miles de toneladas de materiales con alto valor comercial y energético.
Esta investigación es pertinente porque suministra a los ingenieros ambientales, planificadores y tomadores de decisión un diagnóstico riguroso y comparativo de base empírica para priorizar inversiones costo-efectivas. Su relevancia radica en demostrar que desviar masivamente la fracción orgánica hacia compostaje y biodigestión, e industrializar el acopio de resinas plásticas mediante cadenas transformadoras, reduce drásticamente las emisiones de metano y lixiviados. Asimismo, el proyecto reviste una dimensión de justicia social al promover el reciclaje inclusivo como eje articulador, formalizando y dignificando la labor de las organizaciones de recicladores de base como prestadores reconocidos del servicio público de aseo.</t>
        </is>
      </c>
      <c r="C19" s="22" t="n"/>
      <c r="D19" s="22" t="n"/>
      <c r="E19" s="22" t="n"/>
      <c r="F19" s="22" t="n"/>
      <c r="G19" s="22" t="n"/>
      <c r="H19" s="22" t="n"/>
      <c r="I19" s="22" t="n"/>
      <c r="J19" s="22" t="n"/>
      <c r="K19" s="22" t="n"/>
      <c r="L19" s="22" t="n"/>
      <c r="M19" s="23" t="n"/>
    </row>
    <row r="20" ht="33.75" customHeight="1">
      <c r="B20" s="10" t="inlineStr">
        <is>
          <t>Fundamentación teórica: redactar en este espacio un texto, en el cual se presente el soporte teórico de la investigación, empleando la bibliografía necesaria. Recordar el uso de las normas APA. No debe exceder las 500 palabras.</t>
        </is>
      </c>
      <c r="C20" s="22" t="n"/>
      <c r="D20" s="22" t="n"/>
      <c r="E20" s="22" t="n"/>
      <c r="F20" s="22" t="n"/>
      <c r="G20" s="22" t="n"/>
      <c r="H20" s="22" t="n"/>
      <c r="I20" s="22" t="n"/>
      <c r="J20" s="22" t="n"/>
      <c r="K20" s="22" t="n"/>
      <c r="L20" s="22" t="n"/>
      <c r="M20" s="23" t="n"/>
    </row>
    <row r="21" ht="230" customHeight="1">
      <c r="B21" s="26" t="inlineStr">
        <is>
          <t>La superación del modelo extractivista tradicional en la gestión de residuos sólidos urbanos exige adoptar el paradigma de la economía circular, trascendiendo las tradicionales 'tres erres' para consolidar la jerarquía integral de las 9R. Dicha jerarquía prioriza principios preventivos y de rediseño: rechazar lo innecesario (R0), repensar procesos productivos (R1) y reducir el consumo de materias vírgenes (R2); promueve la extensión del ciclo vital de los bienes mediante reutilización (R3), reparación funcional (R4), restauración (R5), remanufactura industrial (R6) y readaptación de uso (R7); y relega el reciclaje mecánico/químico (R8) y la valorización energética (R9) a los descartes inevitables, excluyendo el confinamiento en vertederos de toda fracción valorizable (Sondh et al., 2024).
En las ciudades latinoamericanas, la literatura científica focaliza dos fracciones prioritarias. Por un lado, los biorresiduos o materia orgánica representan entre el 50% y el 65% de la masa total de desechos; su vertimiento anaerobio genera lixiviados con alta carga orgánica y metales pesados, junto con emanaciones masivas de gas metano (CH4), cuyo potencial de calentamiento global es hasta 28 veces superior al CO2, haciendo imprescindible su tratamiento biológico mediante digestión anaerobia y compostaje (Ceballos Pérez et al., 2022). Por otro lado, los residuos plásticos (PET, PEAD, PEBD, PP, PS) representan entre el 12% y el 18% en peso, pero abarcan más del 40% del volumen confinado, requiriendo esquemas locales de densificación y acopio tecnificado (Nuñez Zabala, 2025).
A escala global, modelos predictivos demuestran que la implementación de marcos de alta circularidad puede mitigar entre un 30% y un 39% de las emisiones de gases de efecto invernadero del sector hacia 2050 (Ijimdiya et al., 2026). Paralelamente, la literatura subraya el potencial de tecnologías 4.0, tales como contenedores inteligentes IoT y plataformas blockchain para garantizar la trazabilidad de los flujos de materiales en esquemas de logística inversa (Reis et al., 2023). Finalmente, en el contexto regional, la transición circular resulta inviable sin una gobernanza inclusiva que reconozca a los recicladores de oficio como actores estructurales a través de esquemas formales de pago por prestación de servicios y alianzas público-privadas de Responsabilidad Extendida del Productor (Najar Marín, 2024).</t>
        </is>
      </c>
      <c r="C21" s="22" t="n"/>
      <c r="D21" s="22" t="n"/>
      <c r="E21" s="22" t="n"/>
      <c r="F21" s="22" t="n"/>
      <c r="G21" s="22" t="n"/>
      <c r="H21" s="22" t="n"/>
      <c r="I21" s="22" t="n"/>
      <c r="J21" s="22" t="n"/>
      <c r="K21" s="22" t="n"/>
      <c r="L21" s="22" t="n"/>
      <c r="M21" s="23" t="n"/>
    </row>
    <row r="22" ht="30" customHeight="1">
      <c r="B22" s="10" t="inlineStr">
        <is>
          <t>Hipótesis: describir la proposición que se desea explicar en la investigación, a partir de hechos que caracterizan e identifican el objeto de estudio de la investigación. No debe exceder las 200 palabras.</t>
        </is>
      </c>
      <c r="C22" s="22" t="n"/>
      <c r="D22" s="22" t="n"/>
      <c r="E22" s="22" t="n"/>
      <c r="F22" s="22" t="n"/>
      <c r="G22" s="22" t="n"/>
      <c r="H22" s="22" t="n"/>
      <c r="I22" s="22" t="n"/>
      <c r="J22" s="22" t="n"/>
      <c r="K22" s="22" t="n"/>
      <c r="L22" s="22" t="n"/>
      <c r="M22" s="23" t="n"/>
    </row>
    <row r="23" ht="90" customHeight="1">
      <c r="B23" s="26" t="inlineStr">
        <is>
          <t>La implementación articulada de un modelo de gestión integral de residuos sólidos urbanos basado en la economía circular —que integre la valorización biológica obligatoria de biorresiduos mediante compostaje y biodigestión, el aprovechamiento mecánico-industrial de plásticos bajo normativas de Responsabilidad Extendida del Productor (REP) y la formalización socioeconómica de los recicladores de oficio con esquemas de trazabilidad digital— permite desviar más del 60% del volumen de residuos actualmente destinado a confinamiento en vertederos y mitigar entre un 30% y un 39% de las emisiones de gases de efecto invernadero asociadas al sector municipal hacia el año 2050.</t>
        </is>
      </c>
      <c r="C23" s="22" t="n"/>
      <c r="D23" s="22" t="n"/>
      <c r="E23" s="22" t="n"/>
      <c r="F23" s="22" t="n"/>
      <c r="G23" s="22" t="n"/>
      <c r="H23" s="22" t="n"/>
      <c r="I23" s="22" t="n"/>
      <c r="J23" s="22" t="n"/>
      <c r="K23" s="22" t="n"/>
      <c r="L23" s="22" t="n"/>
      <c r="M23" s="23" t="n"/>
    </row>
    <row r="24">
      <c r="B24" s="12" t="inlineStr">
        <is>
          <t>Marco metodológico: completar los siguientes criterios y argumentar.</t>
        </is>
      </c>
      <c r="C24" s="22" t="n"/>
      <c r="D24" s="22" t="n"/>
      <c r="E24" s="22" t="n"/>
      <c r="F24" s="22" t="n"/>
      <c r="G24" s="22" t="n"/>
      <c r="H24" s="22" t="n"/>
      <c r="I24" s="22" t="n"/>
      <c r="J24" s="22" t="n"/>
      <c r="K24" s="22" t="n"/>
      <c r="L24" s="22" t="n"/>
      <c r="M24" s="23" t="n"/>
    </row>
    <row r="25" ht="68" customHeight="1">
      <c r="B25" s="27" t="inlineStr">
        <is>
          <t>Enfoque de investigación:
Cualitativo y descriptivo-documental con análisis cuantitativo secundario (enfoque mixto de revisión de literatura). Se fundamenta en el método analítico-sintético para examinar la literatura científica indexada, contrastando los estudios empíricos territoriales con modelos matemáticos globales de balance de masa y carbono en economía circular.</t>
        </is>
      </c>
      <c r="C25" s="22" t="n"/>
      <c r="D25" s="22" t="n"/>
      <c r="E25" s="22" t="n"/>
      <c r="F25" s="22" t="n"/>
      <c r="G25" s="22" t="n"/>
      <c r="H25" s="22" t="n"/>
      <c r="I25" s="22" t="n"/>
      <c r="J25" s="22" t="n"/>
      <c r="K25" s="22" t="n"/>
      <c r="L25" s="22" t="n"/>
      <c r="M25" s="23" t="n"/>
    </row>
    <row r="26" ht="78" customHeight="1">
      <c r="B26" s="27" t="inlineStr">
        <is>
          <t>Diseño y alcance de la investigación:
Diseño no experimental, transversal y documental, estructurado como una revisión sistemática de literatura bajo las directrices de la declaración PRISMA (Preferred Reporting Items for Systematic Reviews and Meta-Analyses). El alcance es descriptivo, correlacional-comparativo y propositivo, al caracterizar el desempeño de diversas tecnologías de valorización y formular directrices estratégicas de aplicación técnica y regulatoria para la gestión municipal.</t>
        </is>
      </c>
      <c r="C26" s="22" t="n"/>
      <c r="D26" s="22" t="n"/>
      <c r="E26" s="22" t="n"/>
      <c r="F26" s="22" t="n"/>
      <c r="G26" s="22" t="n"/>
      <c r="H26" s="22" t="n"/>
      <c r="I26" s="22" t="n"/>
      <c r="J26" s="22" t="n"/>
      <c r="K26" s="22" t="n"/>
      <c r="L26" s="22" t="n"/>
      <c r="M26" s="23" t="n"/>
    </row>
    <row r="27" ht="90" customHeight="1">
      <c r="B27" s="27" t="inlineStr">
        <is>
          <t>Técnicas para la recolección de la información:
Búsqueda sistemática en bases de datos científicas indexadas de alto impacto (Scopus, ScienceDirect, MDPI, SciELO, Redalyc) mediante operadores booleanos y palabras clave ('circular economy', 'municipal solid waste', 'valorization', 'extended producer responsibility'). Las técnicas de registro e interpretación incluyen matrices de extracción documental estandarizadas, resúmenes analíticos de investigación (RAE) y análisis comparativo cruzado de parámetros operacionales, gravimetría física, rendimientos energéticos y marcos tarifarios.</t>
        </is>
      </c>
      <c r="C27" s="22" t="n"/>
      <c r="D27" s="22" t="n"/>
      <c r="E27" s="22" t="n"/>
      <c r="F27" s="22" t="n"/>
      <c r="G27" s="22" t="n"/>
      <c r="H27" s="22" t="n"/>
      <c r="I27" s="22" t="n"/>
      <c r="J27" s="22" t="n"/>
      <c r="K27" s="22" t="n"/>
      <c r="L27" s="22" t="n"/>
      <c r="M27" s="23" t="n"/>
    </row>
    <row r="28" ht="105" customHeight="1">
      <c r="B28" s="27" t="inlineStr">
        <is>
          <t>Población: criterios de inclusión y exclusión participante en la investigación:
• Población/Universo documental: Artículos científicos evaluados por pares y documentos técnicos de organismos multilaterales (Banco Mundial, PNUMA) sobre economía circular y gestión de residuos sólidos urbanos publicados entre 2022 y 2026.
• Criterios de inclusión: Publicaciones en inglés y español con datos empíricos de caracterización, tecnologías de tratamiento (compostaje, digestión anaerobia, pirólisis) y esquemas de gobernanza aplicables a contextos latinoamericanos e internacionales.
• Criterios de exclusión: Estudios previos a 2022, literatura gris sin rigor metodológico o investigaciones enfocadas exclusivamente en residuos peligrosos/hospitalarios. Corpus nuclear seleccionado: 6 artículos científicos de alto impacto (3 en inglés y 3 en español).</t>
        </is>
      </c>
      <c r="C28" s="22" t="n"/>
      <c r="D28" s="22" t="n"/>
      <c r="E28" s="22" t="n"/>
      <c r="F28" s="22" t="n"/>
      <c r="G28" s="22" t="n"/>
      <c r="H28" s="22" t="n"/>
      <c r="I28" s="22" t="n"/>
      <c r="J28" s="22" t="n"/>
      <c r="K28" s="22" t="n"/>
      <c r="L28" s="22" t="n"/>
      <c r="M28" s="23" t="n"/>
    </row>
    <row r="29">
      <c r="B29" s="13" t="inlineStr">
        <is>
          <t>Cronograma de actividades</t>
        </is>
      </c>
      <c r="C29" s="22" t="n"/>
      <c r="D29" s="22" t="n"/>
      <c r="E29" s="22" t="n"/>
      <c r="F29" s="22" t="n"/>
      <c r="G29" s="22" t="n"/>
      <c r="H29" s="22" t="n"/>
      <c r="I29" s="22" t="n"/>
      <c r="J29" s="22" t="n"/>
      <c r="K29" s="22" t="n"/>
      <c r="L29" s="22" t="n"/>
      <c r="M29" s="23" t="n"/>
    </row>
    <row r="30" ht="26" customHeight="1">
      <c r="B30" s="18" t="inlineStr">
        <is>
          <t>OBJETIVO DE LA INVESTIGACIÓN</t>
        </is>
      </c>
      <c r="C30" s="16" t="inlineStr">
        <is>
          <t xml:space="preserve">ACTIVIDAD  </t>
        </is>
      </c>
      <c r="D30" s="16" t="inlineStr">
        <is>
          <t>MES 1</t>
        </is>
      </c>
      <c r="E30" s="16" t="inlineStr">
        <is>
          <t>MES 2</t>
        </is>
      </c>
      <c r="F30" s="16" t="inlineStr">
        <is>
          <t>MES 3</t>
        </is>
      </c>
      <c r="G30" s="16" t="inlineStr">
        <is>
          <t>MES 4</t>
        </is>
      </c>
      <c r="H30" s="16" t="inlineStr">
        <is>
          <t>MES 5</t>
        </is>
      </c>
      <c r="I30" s="16" t="inlineStr">
        <is>
          <t>MES 6</t>
        </is>
      </c>
      <c r="J30" s="16" t="inlineStr">
        <is>
          <t>MES 7</t>
        </is>
      </c>
      <c r="K30" s="16" t="inlineStr">
        <is>
          <t>MES 8</t>
        </is>
      </c>
      <c r="L30" s="16" t="inlineStr">
        <is>
          <t>PRODUCTO</t>
        </is>
      </c>
      <c r="M30" s="23" t="n"/>
    </row>
    <row r="31" ht="26" customHeight="1">
      <c r="B31" s="28" t="inlineStr">
        <is>
          <t>Objetivo 1</t>
        </is>
      </c>
      <c r="C31" s="29" t="inlineStr">
        <is>
          <t>Búsqueda y selección sistemática de literatura científica en Scopus, SciELO y MDPI bajo PRISMA.</t>
        </is>
      </c>
      <c r="D31" s="28" t="inlineStr">
        <is>
          <t>X</t>
        </is>
      </c>
      <c r="E31" s="28" t="inlineStr">
        <is>
          <t>X</t>
        </is>
      </c>
      <c r="F31" s="30" t="inlineStr"/>
      <c r="G31" s="30" t="inlineStr"/>
      <c r="H31" s="30" t="inlineStr"/>
      <c r="I31" s="30" t="inlineStr"/>
      <c r="J31" s="30" t="inlineStr"/>
      <c r="K31" s="30" t="inlineStr"/>
      <c r="L31" s="29" t="inlineStr">
        <is>
          <t>Matriz documental PRISMA</t>
        </is>
      </c>
      <c r="M31" s="23" t="n"/>
    </row>
    <row r="32" ht="26" customHeight="1">
      <c r="B32" s="28" t="inlineStr">
        <is>
          <t>Objetivo 1</t>
        </is>
      </c>
      <c r="C32" s="29" t="inlineStr">
        <is>
          <t>Extracción y sistematización de datos de generación y composición gravimétrica de residuos.</t>
        </is>
      </c>
      <c r="D32" s="30" t="inlineStr"/>
      <c r="E32" s="28" t="inlineStr">
        <is>
          <t>X</t>
        </is>
      </c>
      <c r="F32" s="28" t="inlineStr">
        <is>
          <t>X</t>
        </is>
      </c>
      <c r="G32" s="30" t="inlineStr"/>
      <c r="H32" s="30" t="inlineStr"/>
      <c r="I32" s="30" t="inlineStr"/>
      <c r="J32" s="30" t="inlineStr"/>
      <c r="K32" s="30" t="inlineStr"/>
      <c r="L32" s="29" t="inlineStr">
        <is>
          <t>Fichas analíticas de caracterización</t>
        </is>
      </c>
      <c r="M32" s="23" t="n"/>
    </row>
    <row r="33" ht="26" customHeight="1">
      <c r="B33" s="28" t="inlineStr">
        <is>
          <t>Objetivo 1</t>
        </is>
      </c>
      <c r="C33" s="29" t="inlineStr">
        <is>
          <t>Análisis comparativo del potencial de valorización de biorresiduos y polímeros plásticos críticos.</t>
        </is>
      </c>
      <c r="D33" s="30" t="inlineStr"/>
      <c r="E33" s="30" t="inlineStr"/>
      <c r="F33" s="28" t="inlineStr">
        <is>
          <t>X</t>
        </is>
      </c>
      <c r="G33" s="28" t="inlineStr">
        <is>
          <t>X</t>
        </is>
      </c>
      <c r="H33" s="30" t="inlineStr"/>
      <c r="I33" s="30" t="inlineStr"/>
      <c r="J33" s="30" t="inlineStr"/>
      <c r="K33" s="30" t="inlineStr"/>
      <c r="L33" s="29" t="inlineStr">
        <is>
          <t>Diagnóstico de flujos de materiales</t>
        </is>
      </c>
      <c r="M33" s="23" t="n"/>
    </row>
    <row r="34" ht="26" customHeight="1">
      <c r="B34" s="28" t="inlineStr">
        <is>
          <t>Objetivo 2</t>
        </is>
      </c>
      <c r="C34" s="29" t="inlineStr">
        <is>
          <t>Evaluación técnico-ambiental comparada de tecnologías de valorización biológica y termoquímica.</t>
        </is>
      </c>
      <c r="D34" s="30" t="inlineStr"/>
      <c r="E34" s="30" t="inlineStr"/>
      <c r="F34" s="30" t="inlineStr"/>
      <c r="G34" s="28" t="inlineStr">
        <is>
          <t>X</t>
        </is>
      </c>
      <c r="H34" s="28" t="inlineStr">
        <is>
          <t>X</t>
        </is>
      </c>
      <c r="I34" s="30" t="inlineStr"/>
      <c r="J34" s="30" t="inlineStr"/>
      <c r="K34" s="30" t="inlineStr"/>
      <c r="L34" s="29" t="inlineStr">
        <is>
          <t>Cuadro comparativo de tecnologías</t>
        </is>
      </c>
      <c r="M34" s="23" t="n"/>
    </row>
    <row r="35" ht="26" customHeight="1">
      <c r="B35" s="28" t="inlineStr">
        <is>
          <t>Objetivo 2</t>
        </is>
      </c>
      <c r="C35" s="29" t="inlineStr">
        <is>
          <t>Cuantificación de tasas de desvío de vertederos y coeficientes de mitigación de GEI al 2050.</t>
        </is>
      </c>
      <c r="D35" s="30" t="inlineStr"/>
      <c r="E35" s="30" t="inlineStr"/>
      <c r="F35" s="30" t="inlineStr"/>
      <c r="G35" s="30" t="inlineStr"/>
      <c r="H35" s="28" t="inlineStr">
        <is>
          <t>X</t>
        </is>
      </c>
      <c r="I35" s="28" t="inlineStr">
        <is>
          <t>X</t>
        </is>
      </c>
      <c r="J35" s="30" t="inlineStr"/>
      <c r="K35" s="30" t="inlineStr"/>
      <c r="L35" s="29" t="inlineStr">
        <is>
          <t>Matriz de balance de masa y GEI</t>
        </is>
      </c>
      <c r="M35" s="23" t="n"/>
    </row>
    <row r="36" ht="26" customHeight="1">
      <c r="B36" s="28" t="inlineStr">
        <is>
          <t>Objetivo 3</t>
        </is>
      </c>
      <c r="C36" s="29" t="inlineStr">
        <is>
          <t>Revisión analítica de marcos de Responsabilidad Extendida del Productor (REP) y reciclaje inclusivo.</t>
        </is>
      </c>
      <c r="D36" s="30" t="inlineStr"/>
      <c r="E36" s="30" t="inlineStr"/>
      <c r="F36" s="30" t="inlineStr"/>
      <c r="G36" s="30" t="inlineStr"/>
      <c r="H36" s="30" t="inlineStr"/>
      <c r="I36" s="28" t="inlineStr">
        <is>
          <t>X</t>
        </is>
      </c>
      <c r="J36" s="28" t="inlineStr">
        <is>
          <t>X</t>
        </is>
      </c>
      <c r="K36" s="30" t="inlineStr"/>
      <c r="L36" s="29" t="inlineStr">
        <is>
          <t>Diagnóstico institucional y legal</t>
        </is>
      </c>
      <c r="M36" s="23" t="n"/>
    </row>
    <row r="37" ht="26" customHeight="1">
      <c r="B37" s="28" t="inlineStr">
        <is>
          <t>Objetivo 3</t>
        </is>
      </c>
      <c r="C37" s="29" t="inlineStr">
        <is>
          <t>Formulación de lineamientos de gobernanza, trazabilidad digital (IoT/blockchain) y gestión PGIRS.</t>
        </is>
      </c>
      <c r="D37" s="30" t="inlineStr"/>
      <c r="E37" s="30" t="inlineStr"/>
      <c r="F37" s="30" t="inlineStr"/>
      <c r="G37" s="30" t="inlineStr"/>
      <c r="H37" s="30" t="inlineStr"/>
      <c r="I37" s="30" t="inlineStr"/>
      <c r="J37" s="28" t="inlineStr">
        <is>
          <t>X</t>
        </is>
      </c>
      <c r="K37" s="28" t="inlineStr">
        <is>
          <t>X</t>
        </is>
      </c>
      <c r="L37" s="29" t="inlineStr">
        <is>
          <t>Propuesta de modelo circular</t>
        </is>
      </c>
      <c r="M37" s="23" t="n"/>
    </row>
    <row r="38" ht="26" customHeight="1">
      <c r="B38" s="28" t="inlineStr">
        <is>
          <t>General</t>
        </is>
      </c>
      <c r="C38" s="29" t="inlineStr">
        <is>
          <t>Integración de resultados, discusión analítica comparada y redacción del informe final del proyecto.</t>
        </is>
      </c>
      <c r="D38" s="30" t="inlineStr"/>
      <c r="E38" s="30" t="inlineStr"/>
      <c r="F38" s="30" t="inlineStr"/>
      <c r="G38" s="30" t="inlineStr"/>
      <c r="H38" s="30" t="inlineStr"/>
      <c r="I38" s="30" t="inlineStr"/>
      <c r="J38" s="28" t="inlineStr">
        <is>
          <t>X</t>
        </is>
      </c>
      <c r="K38" s="28" t="inlineStr">
        <is>
          <t>X</t>
        </is>
      </c>
      <c r="L38" s="29" t="inlineStr">
        <is>
          <t>Documento final de investigación</t>
        </is>
      </c>
      <c r="M38" s="23" t="n"/>
    </row>
    <row r="39" ht="26" customHeight="1">
      <c r="B39" s="28" t="inlineStr">
        <is>
          <t>General</t>
        </is>
      </c>
      <c r="C39" s="29" t="inlineStr">
        <is>
          <t>Preparación y edición de manuscrito de artículo científico para divulgación académica.</t>
        </is>
      </c>
      <c r="D39" s="30" t="inlineStr"/>
      <c r="E39" s="30" t="inlineStr"/>
      <c r="F39" s="30" t="inlineStr"/>
      <c r="G39" s="30" t="inlineStr"/>
      <c r="H39" s="30" t="inlineStr"/>
      <c r="I39" s="30" t="inlineStr"/>
      <c r="J39" s="30" t="inlineStr"/>
      <c r="K39" s="28" t="inlineStr">
        <is>
          <t>X</t>
        </is>
      </c>
      <c r="L39" s="29" t="inlineStr">
        <is>
          <t>Manuscrito de artículo para arbitraje</t>
        </is>
      </c>
      <c r="M39" s="23" t="n"/>
    </row>
    <row r="40" ht="26" customHeight="1">
      <c r="B40" s="28" t="inlineStr">
        <is>
          <t>General</t>
        </is>
      </c>
      <c r="C40" s="29" t="inlineStr">
        <is>
          <t>Socialización de resultados, preparación de diapositivas y sustentación del proyecto de grado.</t>
        </is>
      </c>
      <c r="D40" s="30" t="inlineStr"/>
      <c r="E40" s="30" t="inlineStr"/>
      <c r="F40" s="30" t="inlineStr"/>
      <c r="G40" s="30" t="inlineStr"/>
      <c r="H40" s="30" t="inlineStr"/>
      <c r="I40" s="30" t="inlineStr"/>
      <c r="J40" s="30" t="inlineStr"/>
      <c r="K40" s="28" t="inlineStr">
        <is>
          <t>X</t>
        </is>
      </c>
      <c r="L40" s="29" t="inlineStr">
        <is>
          <t>Acta y presentación de sustentación</t>
        </is>
      </c>
      <c r="M40" s="23" t="n"/>
    </row>
    <row r="41">
      <c r="B41" s="13" t="inlineStr">
        <is>
          <t>Presupuesto</t>
        </is>
      </c>
      <c r="C41" s="22" t="n"/>
      <c r="D41" s="22" t="n"/>
      <c r="E41" s="22" t="n"/>
      <c r="F41" s="22" t="n"/>
      <c r="G41" s="22" t="n"/>
      <c r="H41" s="22" t="n"/>
      <c r="I41" s="22" t="n"/>
      <c r="J41" s="22" t="n"/>
      <c r="K41" s="22" t="n"/>
      <c r="L41" s="22" t="n"/>
      <c r="M41" s="23" t="n"/>
    </row>
    <row r="42" ht="29.25" customHeight="1">
      <c r="B42" s="16" t="inlineStr">
        <is>
          <t>RUBRO</t>
        </is>
      </c>
      <c r="C42" s="16" t="inlineStr">
        <is>
          <t>DESCRIPCIÓN</t>
        </is>
      </c>
      <c r="D42" s="16" t="inlineStr">
        <is>
          <t>CANTIDAD</t>
        </is>
      </c>
      <c r="E42" s="23" t="n"/>
      <c r="F42" s="18" t="inlineStr">
        <is>
          <t>TIEMPO REQUERIDO (meses)</t>
        </is>
      </c>
      <c r="G42" s="22" t="n"/>
      <c r="H42" s="23" t="n"/>
      <c r="I42" s="16" t="inlineStr">
        <is>
          <t>VALOR POR MES</t>
        </is>
      </c>
      <c r="J42" s="23" t="n"/>
      <c r="K42" s="16" t="inlineStr">
        <is>
          <t>TOTAL TIPO DE RECURSO</t>
        </is>
      </c>
      <c r="L42" s="22" t="n"/>
      <c r="M42" s="23" t="n"/>
    </row>
    <row r="43" ht="22" customHeight="1">
      <c r="B43" s="31" t="inlineStr">
        <is>
          <t>Personal</t>
        </is>
      </c>
      <c r="C43" s="29" t="inlineStr">
        <is>
          <t>Investigador principal (Jair Restrepo - dedicación 20h/sem)</t>
        </is>
      </c>
      <c r="D43" s="25" t="n">
        <v>1</v>
      </c>
      <c r="E43" s="23" t="n"/>
      <c r="F43" s="25" t="n">
        <v>8</v>
      </c>
      <c r="G43" s="22" t="n"/>
      <c r="H43" s="23" t="n"/>
      <c r="I43" s="32" t="n">
        <v>500000</v>
      </c>
      <c r="J43" s="23" t="n"/>
      <c r="K43" s="33" t="n">
        <v>4000000</v>
      </c>
      <c r="L43" s="22" t="n"/>
      <c r="M43" s="23" t="n"/>
    </row>
    <row r="44" ht="22" customHeight="1">
      <c r="B44" s="31" t="inlineStr">
        <is>
          <t>Personal</t>
        </is>
      </c>
      <c r="C44" s="29" t="inlineStr">
        <is>
          <t>Docente asesor temático / Tutor metodológico</t>
        </is>
      </c>
      <c r="D44" s="25" t="n">
        <v>1</v>
      </c>
      <c r="E44" s="23" t="n"/>
      <c r="F44" s="25" t="n">
        <v>8</v>
      </c>
      <c r="G44" s="22" t="n"/>
      <c r="H44" s="23" t="n"/>
      <c r="I44" s="32" t="n">
        <v>300000</v>
      </c>
      <c r="J44" s="23" t="n"/>
      <c r="K44" s="33" t="n">
        <v>2400000</v>
      </c>
      <c r="L44" s="22" t="n"/>
      <c r="M44" s="23" t="n"/>
    </row>
    <row r="45" ht="22" customHeight="1">
      <c r="B45" s="31" t="inlineStr">
        <is>
          <t>Equipos</t>
        </is>
      </c>
      <c r="C45" s="29" t="inlineStr">
        <is>
          <t>Equipo de cómputo y estación de trabajo para procesamiento</t>
        </is>
      </c>
      <c r="D45" s="25" t="n">
        <v>1</v>
      </c>
      <c r="E45" s="23" t="n"/>
      <c r="F45" s="25" t="n">
        <v>8</v>
      </c>
      <c r="G45" s="22" t="n"/>
      <c r="H45" s="23" t="n"/>
      <c r="I45" s="32" t="n">
        <v>200000</v>
      </c>
      <c r="J45" s="23" t="n"/>
      <c r="K45" s="33" t="n">
        <v>1600000</v>
      </c>
      <c r="L45" s="22" t="n"/>
      <c r="M45" s="23" t="n"/>
    </row>
    <row r="46" ht="22" customHeight="1">
      <c r="B46" s="31" t="inlineStr">
        <is>
          <t>Software</t>
        </is>
      </c>
      <c r="C46" s="29" t="inlineStr">
        <is>
          <t>Suscripción a gestores bibliográficos y software estadístico</t>
        </is>
      </c>
      <c r="D46" s="25" t="n">
        <v>1</v>
      </c>
      <c r="E46" s="23" t="n"/>
      <c r="F46" s="25" t="n">
        <v>8</v>
      </c>
      <c r="G46" s="22" t="n"/>
      <c r="H46" s="23" t="n"/>
      <c r="I46" s="32" t="n">
        <v>100000</v>
      </c>
      <c r="J46" s="23" t="n"/>
      <c r="K46" s="33" t="n">
        <v>800000</v>
      </c>
      <c r="L46" s="22" t="n"/>
      <c r="M46" s="23" t="n"/>
    </row>
    <row r="47" ht="22" customHeight="1">
      <c r="B47" s="31" t="inlineStr">
        <is>
          <t>Servicios técnicos</t>
        </is>
      </c>
      <c r="C47" s="29" t="inlineStr">
        <is>
          <t>Acceso a bases de datos científicas indexadas de pago</t>
        </is>
      </c>
      <c r="D47" s="25" t="n">
        <v>1</v>
      </c>
      <c r="E47" s="23" t="n"/>
      <c r="F47" s="25" t="n">
        <v>8</v>
      </c>
      <c r="G47" s="22" t="n"/>
      <c r="H47" s="23" t="n"/>
      <c r="I47" s="32" t="n">
        <v>150000</v>
      </c>
      <c r="J47" s="23" t="n"/>
      <c r="K47" s="33" t="n">
        <v>1200000</v>
      </c>
      <c r="L47" s="22" t="n"/>
      <c r="M47" s="23" t="n"/>
    </row>
    <row r="48" ht="22" customHeight="1">
      <c r="B48" s="31" t="inlineStr">
        <is>
          <t>Materiales</t>
        </is>
      </c>
      <c r="C48" s="29" t="inlineStr">
        <is>
          <t>Material bibliográfico digital, suministros y papelería</t>
        </is>
      </c>
      <c r="D48" s="25" t="n">
        <v>1</v>
      </c>
      <c r="E48" s="23" t="n"/>
      <c r="F48" s="25" t="n">
        <v>8</v>
      </c>
      <c r="G48" s="22" t="n"/>
      <c r="H48" s="23" t="n"/>
      <c r="I48" s="32" t="n">
        <v>50000</v>
      </c>
      <c r="J48" s="23" t="n"/>
      <c r="K48" s="33" t="n">
        <v>400000</v>
      </c>
      <c r="L48" s="22" t="n"/>
      <c r="M48" s="23" t="n"/>
    </row>
    <row r="49" ht="22" customHeight="1">
      <c r="B49" s="31" t="inlineStr">
        <is>
          <t>Conectividad</t>
        </is>
      </c>
      <c r="C49" s="29" t="inlineStr">
        <is>
          <t>Conexión a internet banda ancha y almacenamiento en nube</t>
        </is>
      </c>
      <c r="D49" s="25" t="n">
        <v>1</v>
      </c>
      <c r="E49" s="23" t="n"/>
      <c r="F49" s="25" t="n">
        <v>8</v>
      </c>
      <c r="G49" s="22" t="n"/>
      <c r="H49" s="23" t="n"/>
      <c r="I49" s="32" t="n">
        <v>120000</v>
      </c>
      <c r="J49" s="23" t="n"/>
      <c r="K49" s="33" t="n">
        <v>960000</v>
      </c>
      <c r="L49" s="22" t="n"/>
      <c r="M49" s="23" t="n"/>
    </row>
    <row r="50" ht="22" customHeight="1">
      <c r="B50" s="31" t="inlineStr">
        <is>
          <t>Socialización</t>
        </is>
      </c>
      <c r="C50" s="29" t="inlineStr">
        <is>
          <t>Costos de edición, traducción y divulgación científica</t>
        </is>
      </c>
      <c r="D50" s="25" t="n">
        <v>1</v>
      </c>
      <c r="E50" s="23" t="n"/>
      <c r="F50" s="25" t="n">
        <v>8</v>
      </c>
      <c r="G50" s="22" t="n"/>
      <c r="H50" s="23" t="n"/>
      <c r="I50" s="32" t="n">
        <v>100000</v>
      </c>
      <c r="J50" s="23" t="n"/>
      <c r="K50" s="33" t="n">
        <v>800000</v>
      </c>
      <c r="L50" s="22" t="n"/>
      <c r="M50" s="23" t="n"/>
    </row>
    <row r="51" ht="22" customHeight="1">
      <c r="B51" s="31" t="inlineStr">
        <is>
          <t>Imprevistos</t>
        </is>
      </c>
      <c r="C51" s="29" t="inlineStr">
        <is>
          <t>Fondo para contingencias operativas del proyecto (5%)</t>
        </is>
      </c>
      <c r="D51" s="25" t="n">
        <v>1</v>
      </c>
      <c r="E51" s="23" t="n"/>
      <c r="F51" s="25" t="n">
        <v>8</v>
      </c>
      <c r="G51" s="22" t="n"/>
      <c r="H51" s="23" t="n"/>
      <c r="I51" s="32" t="n">
        <v>75000</v>
      </c>
      <c r="J51" s="23" t="n"/>
      <c r="K51" s="33" t="n">
        <v>600000</v>
      </c>
      <c r="L51" s="22" t="n"/>
      <c r="M51" s="23" t="n"/>
    </row>
    <row r="52">
      <c r="B52" s="20" t="inlineStr">
        <is>
          <t>TOTAL</t>
        </is>
      </c>
      <c r="C52" s="22" t="n"/>
      <c r="D52" s="22" t="n"/>
      <c r="E52" s="22" t="n"/>
      <c r="F52" s="22" t="n"/>
      <c r="G52" s="22" t="n"/>
      <c r="H52" s="22" t="n"/>
      <c r="I52" s="22" t="n"/>
      <c r="J52" s="23" t="n"/>
      <c r="K52" s="34">
        <f>K43+K44+K45+K46+K47+K48+K49+K50+K51</f>
        <v/>
      </c>
      <c r="L52" s="22" t="n"/>
      <c r="M52" s="23" t="n"/>
    </row>
    <row r="53" ht="29.25" customHeight="1">
      <c r="B53" s="10" t="inlineStr">
        <is>
          <t>Resultados esperados de la investigación: describir los resultados que se esperan obtener de la investigación a nivel general y el aporte de los mismos a su disciplina y a la sociedad en general. No debe exceder las 200 palabras.</t>
        </is>
      </c>
      <c r="C53" s="22" t="n"/>
      <c r="D53" s="22" t="n"/>
      <c r="E53" s="22" t="n"/>
      <c r="F53" s="22" t="n"/>
      <c r="G53" s="22" t="n"/>
      <c r="H53" s="22" t="n"/>
      <c r="I53" s="22" t="n"/>
      <c r="J53" s="22" t="n"/>
      <c r="K53" s="22" t="n"/>
      <c r="L53" s="22" t="n"/>
      <c r="M53" s="23" t="n"/>
    </row>
    <row r="54" ht="140" customHeight="1">
      <c r="B54" s="26" t="inlineStr">
        <is>
          <t>A nivel general, se consolidará un marco comprensivo de evidencia científica que valide la viabilidad técnica, ambiental, operativa y económica de los modelos de economía circular en la gestión de residuos urbanos frente al esquema de enterramiento tradicional.
En el ámbito disciplinar de la Ingeniería Ambiental, la investigación aportará indicadores comparativos sobre el potencial de valorización de fracciones críticas (biorresiduos y plásticos), coeficientes cuantitativos de mitigación de gases de efecto invernadero (hasta un 39% de reducción al año 2050) y directrices técnicas para la actualización de los Planes de Gestión Integral de Residuos Sólidos (PGIRS) municipales de segunda generación.
Para la sociedad y las administraciones públicas, el proyecto contribuirá a la protección de fuentes hídricas y suelos al reducir la formación de lixiviados tóxicos, prolongará la vida útil de las celdas de confinamiento y suministrará argumentos técnicos para la adopción del reciclaje inclusivo, promoviendo la formalización laboral y remuneración justa de las asociaciones de recicladores de base dentro de cadenas productivas sostenibles.</t>
        </is>
      </c>
      <c r="C54" s="22" t="n"/>
      <c r="D54" s="22" t="n"/>
      <c r="E54" s="22" t="n"/>
      <c r="F54" s="22" t="n"/>
      <c r="G54" s="22" t="n"/>
      <c r="H54" s="22" t="n"/>
      <c r="I54" s="22" t="n"/>
      <c r="J54" s="22" t="n"/>
      <c r="K54" s="22" t="n"/>
      <c r="L54" s="22" t="n"/>
      <c r="M54" s="23" t="n"/>
    </row>
    <row r="55" ht="230" customHeight="1">
      <c r="B55" s="27" t="inlineStr">
        <is>
          <t>Bibliografía (Normas APA 7ma Edición):
1. Ceballos Pérez, S. G., Brambila Paz, J. de J., &amp; Pérez Cerecedo, V. (2022). Residuos sólidos urbanos y economía circular en Pachuca, Hidalgo, México. Acta Universitaria, 32, Article e3437. https://doi.org/10.15174/au.2022.3437
2. Ijimdiya, S. J., Kumarasamy, M. V., Adu, J. T., &amp; Pandi, D. (2026). Role of the Circular Economy Framework for Sustainable Waste Management and Climate Change Mitigation. Sustainability, 18(4), Article 1946. https://doi.org/10.3390/su18041946
3. Najar Marín, E. (2024). Manejo de residuos sólidos en zonas urbanas en América Latina. Visión de Futuro, 28(2), 1-18. https://doi.org/10.36995/j.visiondefuturo.2024.28.02.001.es
4. Nuñez Zabala, G. L. (2025). Potencial de aprovechamiento de residuos plásticos urbanos en el municipio de Sincelejo. Revista Luna Azul, 60, 25-42. https://doi.org/10.17151/luaz.2025.60.2
5. Reis, W. F., Barreto, C. G., &amp; Capelari, M. G. M. (2023). Circular Economy and Solid Waste Management: Connections from a Bibliometric Analysis. Sustainability, 15(22), Article 15715. https://doi.org/10.3390/su152215715
6. Sondh, S., Upadhyay, D. S., Patel, S., &amp; Patel, R. N. (2024). Strategic approach towards sustainability by promoting circular economy-based municipal solid waste management system—A review. Sustainable Chemistry and Pharmacy, 37, Article 101337. https://doi.org/10.1016/j.scp.2023.101337</t>
        </is>
      </c>
      <c r="C55" s="22" t="n"/>
      <c r="D55" s="22" t="n"/>
      <c r="E55" s="22" t="n"/>
      <c r="F55" s="22" t="n"/>
      <c r="G55" s="22" t="n"/>
      <c r="H55" s="22" t="n"/>
      <c r="I55" s="22" t="n"/>
      <c r="J55" s="22" t="n"/>
      <c r="K55" s="22" t="n"/>
      <c r="L55" s="22" t="n"/>
      <c r="M55" s="23" t="n"/>
    </row>
    <row r="56">
      <c r="B56" s="1" t="n"/>
      <c r="C56" s="1" t="n"/>
      <c r="D56" s="1" t="n"/>
      <c r="E56" s="1" t="n"/>
      <c r="F56" s="1" t="n"/>
      <c r="G56" s="1" t="n"/>
      <c r="H56" s="1" t="n"/>
      <c r="I56" s="1" t="n"/>
      <c r="J56" s="1" t="n"/>
      <c r="K56" s="1" t="n"/>
      <c r="L56" s="1" t="n"/>
      <c r="M56" s="1" t="n"/>
    </row>
    <row r="57">
      <c r="B57" s="1" t="n"/>
      <c r="C57" s="1" t="n"/>
      <c r="D57" s="1" t="n"/>
      <c r="E57" s="1" t="n"/>
      <c r="F57" s="1" t="n"/>
      <c r="G57" s="1" t="n"/>
      <c r="H57" s="1" t="n"/>
      <c r="I57" s="1" t="n"/>
      <c r="J57" s="1" t="n"/>
      <c r="K57" s="1" t="n"/>
      <c r="L57" s="1" t="n"/>
      <c r="M57" s="1" t="n"/>
    </row>
    <row r="58">
      <c r="B58" s="1" t="n"/>
      <c r="C58" s="1" t="n"/>
      <c r="D58" s="1" t="n"/>
      <c r="E58" s="1" t="n"/>
      <c r="F58" s="1" t="n"/>
      <c r="G58" s="1" t="n"/>
      <c r="H58" s="1" t="n"/>
      <c r="I58" s="1" t="n"/>
      <c r="J58" s="1" t="n"/>
      <c r="K58" s="1" t="n"/>
      <c r="L58" s="1" t="n"/>
      <c r="M58" s="1" t="n"/>
    </row>
    <row r="59">
      <c r="B59" s="1" t="n"/>
      <c r="C59" s="1" t="n"/>
      <c r="D59" s="1" t="n"/>
      <c r="E59" s="1" t="n"/>
      <c r="F59" s="1" t="n"/>
      <c r="G59" s="1" t="n"/>
      <c r="H59" s="1" t="n"/>
      <c r="I59" s="1" t="n"/>
      <c r="J59" s="1" t="n"/>
      <c r="K59" s="1" t="n"/>
      <c r="L59" s="1" t="n"/>
      <c r="M59" s="1" t="n"/>
    </row>
    <row r="60">
      <c r="B60" s="1" t="n"/>
      <c r="C60" s="1" t="n"/>
      <c r="D60" s="1" t="n"/>
      <c r="E60" s="1" t="n"/>
      <c r="F60" s="1" t="n"/>
      <c r="G60" s="1" t="n"/>
      <c r="H60" s="1" t="n"/>
      <c r="I60" s="1" t="n"/>
      <c r="J60" s="1" t="n"/>
      <c r="K60" s="1" t="n"/>
      <c r="L60" s="1" t="n"/>
      <c r="M60" s="1" t="n"/>
    </row>
    <row r="61">
      <c r="B61" s="1" t="n"/>
      <c r="C61" s="1" t="n"/>
      <c r="D61" s="1" t="n"/>
      <c r="E61" s="1" t="n"/>
      <c r="F61" s="1" t="n"/>
      <c r="G61" s="1" t="n"/>
      <c r="H61" s="1" t="n"/>
      <c r="I61" s="1" t="n"/>
      <c r="J61" s="1" t="n"/>
      <c r="K61" s="1" t="n"/>
      <c r="L61" s="1" t="n"/>
      <c r="M61" s="1" t="n"/>
    </row>
    <row r="62">
      <c r="B62" s="1" t="n"/>
      <c r="C62" s="1" t="n"/>
      <c r="D62" s="1" t="n"/>
      <c r="E62" s="1" t="n"/>
      <c r="F62" s="1" t="n"/>
      <c r="G62" s="1" t="n"/>
      <c r="H62" s="1" t="n"/>
      <c r="I62" s="1" t="n"/>
      <c r="J62" s="1" t="n"/>
      <c r="K62" s="1" t="n"/>
      <c r="L62" s="1" t="n"/>
      <c r="M62" s="1" t="n"/>
    </row>
    <row r="63">
      <c r="B63" s="1" t="n"/>
      <c r="C63" s="1" t="n"/>
      <c r="D63" s="1" t="n"/>
      <c r="E63" s="1" t="n"/>
      <c r="F63" s="1" t="n"/>
      <c r="G63" s="1" t="n"/>
      <c r="H63" s="1" t="n"/>
      <c r="I63" s="1" t="n"/>
      <c r="J63" s="1" t="n"/>
      <c r="K63" s="1" t="n"/>
      <c r="L63" s="1" t="n"/>
      <c r="M63" s="1" t="n"/>
    </row>
    <row r="64">
      <c r="B64" s="1" t="n"/>
      <c r="C64" s="1" t="n"/>
      <c r="D64" s="1" t="n"/>
      <c r="E64" s="1" t="n"/>
      <c r="F64" s="1" t="n"/>
      <c r="G64" s="1" t="n"/>
      <c r="H64" s="1" t="n"/>
      <c r="I64" s="1" t="n"/>
      <c r="J64" s="1" t="n"/>
      <c r="K64" s="1" t="n"/>
      <c r="L64" s="1" t="n"/>
      <c r="M64" s="1" t="n"/>
    </row>
    <row r="65">
      <c r="B65" s="1" t="n"/>
      <c r="C65" s="1" t="n"/>
      <c r="D65" s="1" t="n"/>
      <c r="E65" s="1" t="n"/>
      <c r="F65" s="1" t="n"/>
      <c r="G65" s="1" t="n"/>
      <c r="H65" s="1" t="n"/>
      <c r="I65" s="1" t="n"/>
      <c r="J65" s="1" t="n"/>
      <c r="K65" s="1" t="n"/>
      <c r="L65" s="1" t="n"/>
      <c r="M65" s="1" t="n"/>
    </row>
    <row r="66">
      <c r="B66" s="1" t="n"/>
      <c r="C66" s="1" t="n"/>
      <c r="D66" s="1" t="n"/>
      <c r="E66" s="1" t="n"/>
      <c r="F66" s="1" t="n"/>
      <c r="G66" s="1" t="n"/>
      <c r="H66" s="1" t="n"/>
      <c r="I66" s="1" t="n"/>
      <c r="J66" s="1" t="n"/>
      <c r="K66" s="1" t="n"/>
      <c r="L66" s="1" t="n"/>
      <c r="M66" s="1" t="n"/>
    </row>
    <row r="67">
      <c r="B67" s="1" t="n"/>
      <c r="C67" s="1" t="n"/>
      <c r="D67" s="1" t="n"/>
      <c r="E67" s="1" t="n"/>
      <c r="F67" s="1" t="n"/>
      <c r="G67" s="1" t="n"/>
      <c r="H67" s="1" t="n"/>
      <c r="I67" s="1" t="n"/>
      <c r="J67" s="1" t="n"/>
      <c r="K67" s="1" t="n"/>
      <c r="L67" s="1" t="n"/>
      <c r="M67" s="1" t="n"/>
    </row>
    <row r="68">
      <c r="B68" s="1" t="n"/>
      <c r="C68" s="1" t="n"/>
      <c r="D68" s="1" t="n"/>
      <c r="E68" s="1" t="n"/>
      <c r="F68" s="1" t="n"/>
      <c r="G68" s="1" t="n"/>
      <c r="H68" s="1" t="n"/>
      <c r="I68" s="1" t="n"/>
      <c r="J68" s="1" t="n"/>
      <c r="K68" s="1" t="n"/>
      <c r="L68" s="1" t="n"/>
      <c r="M68" s="1" t="n"/>
    </row>
    <row r="69">
      <c r="B69" s="1" t="n"/>
      <c r="C69" s="1" t="n"/>
      <c r="D69" s="1" t="n"/>
      <c r="E69" s="1" t="n"/>
      <c r="F69" s="1" t="n"/>
      <c r="G69" s="1" t="n"/>
      <c r="H69" s="1" t="n"/>
      <c r="I69" s="1" t="n"/>
      <c r="J69" s="1" t="n"/>
      <c r="K69" s="1" t="n"/>
      <c r="L69" s="1" t="n"/>
      <c r="M69" s="1" t="n"/>
    </row>
    <row r="70">
      <c r="B70" s="1" t="n"/>
      <c r="C70" s="1" t="n"/>
      <c r="D70" s="1" t="n"/>
      <c r="E70" s="1" t="n"/>
      <c r="F70" s="1" t="n"/>
      <c r="G70" s="1" t="n"/>
      <c r="H70" s="1" t="n"/>
      <c r="I70" s="1" t="n"/>
      <c r="J70" s="1" t="n"/>
      <c r="K70" s="1" t="n"/>
      <c r="L70" s="1" t="n"/>
      <c r="M70" s="1" t="n"/>
    </row>
    <row r="71">
      <c r="B71" s="1" t="n"/>
      <c r="C71" s="1" t="n"/>
      <c r="D71" s="1" t="n"/>
      <c r="E71" s="1" t="n"/>
      <c r="F71" s="1" t="n"/>
      <c r="G71" s="1" t="n"/>
      <c r="H71" s="1" t="n"/>
      <c r="I71" s="1" t="n"/>
      <c r="J71" s="1" t="n"/>
      <c r="K71" s="1" t="n"/>
      <c r="L71" s="1" t="n"/>
      <c r="M71" s="1" t="n"/>
    </row>
    <row r="72">
      <c r="B72" s="1" t="n"/>
      <c r="C72" s="1" t="n"/>
      <c r="D72" s="1" t="n"/>
      <c r="E72" s="1" t="n"/>
      <c r="F72" s="1" t="n"/>
      <c r="G72" s="1" t="n"/>
      <c r="H72" s="1" t="n"/>
      <c r="I72" s="1" t="n"/>
      <c r="J72" s="1" t="n"/>
      <c r="K72" s="1" t="n"/>
      <c r="L72" s="1" t="n"/>
      <c r="M72" s="1" t="n"/>
    </row>
    <row r="73">
      <c r="B73" s="1" t="n"/>
      <c r="C73" s="1" t="n"/>
      <c r="D73" s="1" t="n"/>
      <c r="E73" s="1" t="n"/>
      <c r="F73" s="1" t="n"/>
      <c r="G73" s="1" t="n"/>
      <c r="H73" s="1" t="n"/>
      <c r="I73" s="1" t="n"/>
      <c r="J73" s="1" t="n"/>
      <c r="K73" s="1" t="n"/>
      <c r="L73" s="1" t="n"/>
      <c r="M73" s="1" t="n"/>
    </row>
    <row r="74">
      <c r="B74" s="1" t="n"/>
      <c r="C74" s="1" t="n"/>
      <c r="D74" s="1" t="n"/>
      <c r="E74" s="1" t="n"/>
      <c r="F74" s="1" t="n"/>
      <c r="G74" s="1" t="n"/>
      <c r="H74" s="1" t="n"/>
      <c r="I74" s="1" t="n"/>
      <c r="J74" s="1" t="n"/>
      <c r="K74" s="1" t="n"/>
      <c r="L74" s="1" t="n"/>
      <c r="M74" s="1" t="n"/>
    </row>
    <row r="75">
      <c r="B75" s="1" t="n"/>
      <c r="C75" s="1" t="n"/>
      <c r="D75" s="1" t="n"/>
      <c r="E75" s="1" t="n"/>
      <c r="F75" s="1" t="n"/>
      <c r="G75" s="1" t="n"/>
      <c r="H75" s="1" t="n"/>
      <c r="I75" s="1" t="n"/>
      <c r="J75" s="1" t="n"/>
      <c r="K75" s="1" t="n"/>
      <c r="L75" s="1" t="n"/>
      <c r="M75" s="1" t="n"/>
    </row>
    <row r="76">
      <c r="B76" s="1" t="n"/>
      <c r="C76" s="1" t="n"/>
      <c r="D76" s="1" t="n"/>
      <c r="E76" s="1" t="n"/>
      <c r="F76" s="1" t="n"/>
      <c r="G76" s="1" t="n"/>
      <c r="H76" s="1" t="n"/>
      <c r="I76" s="1" t="n"/>
      <c r="J76" s="1" t="n"/>
      <c r="K76" s="1" t="n"/>
      <c r="L76" s="1" t="n"/>
      <c r="M76" s="1" t="n"/>
    </row>
    <row r="77">
      <c r="B77" s="1" t="n"/>
      <c r="C77" s="1" t="n"/>
      <c r="D77" s="1" t="n"/>
      <c r="E77" s="1" t="n"/>
      <c r="F77" s="1" t="n"/>
      <c r="G77" s="1" t="n"/>
      <c r="H77" s="1" t="n"/>
      <c r="I77" s="1" t="n"/>
      <c r="J77" s="1" t="n"/>
      <c r="K77" s="1" t="n"/>
      <c r="L77" s="1" t="n"/>
      <c r="M77" s="1" t="n"/>
    </row>
    <row r="78">
      <c r="B78" s="1" t="n"/>
      <c r="C78" s="1" t="n"/>
      <c r="D78" s="1" t="n"/>
      <c r="E78" s="1" t="n"/>
      <c r="F78" s="1" t="n"/>
      <c r="G78" s="1" t="n"/>
      <c r="H78" s="1" t="n"/>
      <c r="I78" s="1" t="n"/>
      <c r="J78" s="1" t="n"/>
      <c r="K78" s="1" t="n"/>
      <c r="L78" s="1" t="n"/>
      <c r="M78" s="1" t="n"/>
    </row>
    <row r="79">
      <c r="B79" s="1" t="n"/>
      <c r="C79" s="1" t="n"/>
      <c r="D79" s="1" t="n"/>
      <c r="E79" s="1" t="n"/>
      <c r="F79" s="1" t="n"/>
      <c r="G79" s="1" t="n"/>
      <c r="H79" s="1" t="n"/>
      <c r="I79" s="1" t="n"/>
      <c r="J79" s="1" t="n"/>
      <c r="K79" s="1" t="n"/>
      <c r="L79" s="1" t="n"/>
      <c r="M79" s="1" t="n"/>
    </row>
    <row r="80">
      <c r="B80" s="1" t="n"/>
      <c r="C80" s="1" t="n"/>
      <c r="D80" s="1" t="n"/>
      <c r="E80" s="1" t="n"/>
      <c r="F80" s="1" t="n"/>
      <c r="G80" s="1" t="n"/>
      <c r="H80" s="1" t="n"/>
      <c r="I80" s="1" t="n"/>
      <c r="J80" s="1" t="n"/>
      <c r="K80" s="1" t="n"/>
      <c r="L80" s="1" t="n"/>
      <c r="M80" s="1" t="n"/>
    </row>
    <row r="81">
      <c r="B81" s="1" t="n"/>
      <c r="C81" s="1" t="n"/>
      <c r="D81" s="1" t="n"/>
      <c r="E81" s="1" t="n"/>
      <c r="F81" s="1" t="n"/>
      <c r="G81" s="1" t="n"/>
      <c r="H81" s="1" t="n"/>
      <c r="I81" s="1" t="n"/>
      <c r="J81" s="1" t="n"/>
      <c r="K81" s="1" t="n"/>
      <c r="L81" s="1" t="n"/>
      <c r="M81" s="1" t="n"/>
    </row>
    <row r="82">
      <c r="B82" s="1" t="n"/>
      <c r="C82" s="1" t="n"/>
      <c r="D82" s="1" t="n"/>
      <c r="E82" s="1" t="n"/>
      <c r="F82" s="1" t="n"/>
      <c r="G82" s="1" t="n"/>
      <c r="H82" s="1" t="n"/>
      <c r="I82" s="1" t="n"/>
      <c r="J82" s="1" t="n"/>
      <c r="K82" s="1" t="n"/>
      <c r="L82" s="1" t="n"/>
      <c r="M82" s="1" t="n"/>
    </row>
    <row r="83">
      <c r="B83" s="1" t="n"/>
      <c r="C83" s="1" t="n"/>
      <c r="D83" s="1" t="n"/>
      <c r="E83" s="1" t="n"/>
      <c r="F83" s="1" t="n"/>
      <c r="G83" s="1" t="n"/>
      <c r="H83" s="1" t="n"/>
      <c r="I83" s="1" t="n"/>
      <c r="J83" s="1" t="n"/>
      <c r="K83" s="1" t="n"/>
      <c r="L83" s="1" t="n"/>
      <c r="M83" s="1" t="n"/>
    </row>
    <row r="84">
      <c r="B84" s="1" t="n"/>
      <c r="C84" s="1" t="n"/>
      <c r="D84" s="1" t="n"/>
      <c r="E84" s="1" t="n"/>
      <c r="F84" s="1" t="n"/>
      <c r="G84" s="1" t="n"/>
      <c r="H84" s="1" t="n"/>
      <c r="I84" s="1" t="n"/>
      <c r="J84" s="1" t="n"/>
      <c r="K84" s="1" t="n"/>
      <c r="L84" s="1" t="n"/>
      <c r="M84" s="1" t="n"/>
    </row>
    <row r="85">
      <c r="B85" s="1" t="n"/>
      <c r="C85" s="1" t="n"/>
      <c r="D85" s="1" t="n"/>
      <c r="E85" s="1" t="n"/>
      <c r="F85" s="1" t="n"/>
      <c r="G85" s="1" t="n"/>
      <c r="H85" s="1" t="n"/>
      <c r="I85" s="1" t="n"/>
      <c r="J85" s="1" t="n"/>
      <c r="K85" s="1" t="n"/>
      <c r="L85" s="1" t="n"/>
      <c r="M85" s="1" t="n"/>
    </row>
    <row r="86">
      <c r="B86" s="1" t="n"/>
      <c r="C86" s="1" t="n"/>
      <c r="D86" s="1" t="n"/>
      <c r="E86" s="1" t="n"/>
      <c r="F86" s="1" t="n"/>
      <c r="G86" s="1" t="n"/>
      <c r="H86" s="1" t="n"/>
      <c r="I86" s="1" t="n"/>
      <c r="J86" s="1" t="n"/>
      <c r="K86" s="1" t="n"/>
      <c r="L86" s="1" t="n"/>
      <c r="M86" s="1" t="n"/>
    </row>
    <row r="87">
      <c r="B87" s="1" t="n"/>
      <c r="C87" s="1" t="n"/>
      <c r="D87" s="1" t="n"/>
      <c r="E87" s="1" t="n"/>
      <c r="F87" s="1" t="n"/>
      <c r="G87" s="1" t="n"/>
      <c r="H87" s="1" t="n"/>
      <c r="I87" s="1" t="n"/>
      <c r="J87" s="1" t="n"/>
      <c r="K87" s="1" t="n"/>
      <c r="L87" s="1" t="n"/>
      <c r="M87" s="1" t="n"/>
    </row>
    <row r="88">
      <c r="B88" s="1" t="n"/>
      <c r="C88" s="1" t="n"/>
      <c r="D88" s="1" t="n"/>
      <c r="E88" s="1" t="n"/>
      <c r="F88" s="1" t="n"/>
      <c r="G88" s="1" t="n"/>
      <c r="H88" s="1" t="n"/>
      <c r="I88" s="1" t="n"/>
      <c r="J88" s="1" t="n"/>
      <c r="K88" s="1" t="n"/>
      <c r="L88" s="1" t="n"/>
      <c r="M88" s="1" t="n"/>
    </row>
    <row r="89">
      <c r="B89" s="1" t="n"/>
      <c r="C89" s="1" t="n"/>
      <c r="D89" s="1" t="n"/>
      <c r="E89" s="1" t="n"/>
      <c r="F89" s="1" t="n"/>
      <c r="G89" s="1" t="n"/>
      <c r="H89" s="1" t="n"/>
      <c r="I89" s="1" t="n"/>
      <c r="J89" s="1" t="n"/>
      <c r="K89" s="1" t="n"/>
      <c r="L89" s="1" t="n"/>
      <c r="M89" s="1" t="n"/>
    </row>
    <row r="90">
      <c r="B90" s="1" t="n"/>
      <c r="C90" s="1" t="n"/>
      <c r="D90" s="1" t="n"/>
      <c r="E90" s="1" t="n"/>
      <c r="F90" s="1" t="n"/>
      <c r="G90" s="1" t="n"/>
      <c r="H90" s="1" t="n"/>
      <c r="I90" s="1" t="n"/>
      <c r="J90" s="1" t="n"/>
      <c r="K90" s="1" t="n"/>
      <c r="L90" s="1" t="n"/>
      <c r="M90" s="1" t="n"/>
    </row>
    <row r="91">
      <c r="B91" s="1" t="n"/>
      <c r="C91" s="1" t="n"/>
      <c r="D91" s="1" t="n"/>
      <c r="E91" s="1" t="n"/>
      <c r="F91" s="1" t="n"/>
      <c r="G91" s="1" t="n"/>
      <c r="H91" s="1" t="n"/>
      <c r="I91" s="1" t="n"/>
      <c r="J91" s="1" t="n"/>
      <c r="K91" s="1" t="n"/>
      <c r="L91" s="1" t="n"/>
      <c r="M91" s="1" t="n"/>
    </row>
  </sheetData>
  <mergeCells count="91">
    <mergeCell ref="B2:M2"/>
    <mergeCell ref="B11:M11"/>
    <mergeCell ref="K46:M46"/>
    <mergeCell ref="F45:H45"/>
    <mergeCell ref="B8:G8"/>
    <mergeCell ref="B53:M53"/>
    <mergeCell ref="D45:E45"/>
    <mergeCell ref="F47:H47"/>
    <mergeCell ref="B28:M28"/>
    <mergeCell ref="L39:M39"/>
    <mergeCell ref="D48:E48"/>
    <mergeCell ref="B15:M15"/>
    <mergeCell ref="B5:G5"/>
    <mergeCell ref="L38:M38"/>
    <mergeCell ref="I42:J42"/>
    <mergeCell ref="L31:M31"/>
    <mergeCell ref="L40:M40"/>
    <mergeCell ref="I44:J44"/>
    <mergeCell ref="B54:M54"/>
    <mergeCell ref="D51:E51"/>
    <mergeCell ref="K45:M45"/>
    <mergeCell ref="F51:H51"/>
    <mergeCell ref="K47:M47"/>
    <mergeCell ref="K44:M44"/>
    <mergeCell ref="I46:J46"/>
    <mergeCell ref="F50:H50"/>
    <mergeCell ref="B17:M17"/>
    <mergeCell ref="H7:J7"/>
    <mergeCell ref="K8:M8"/>
    <mergeCell ref="B10:M10"/>
    <mergeCell ref="B19:M19"/>
    <mergeCell ref="B9:M9"/>
    <mergeCell ref="K7:M7"/>
    <mergeCell ref="L30:M30"/>
    <mergeCell ref="I43:J43"/>
    <mergeCell ref="D47:E47"/>
    <mergeCell ref="F49:H49"/>
    <mergeCell ref="B20:M20"/>
    <mergeCell ref="K49:M49"/>
    <mergeCell ref="B4:M4"/>
    <mergeCell ref="B21:M21"/>
    <mergeCell ref="B52:J52"/>
    <mergeCell ref="L32:M32"/>
    <mergeCell ref="B23:M23"/>
    <mergeCell ref="I45:J45"/>
    <mergeCell ref="B13:M13"/>
    <mergeCell ref="I47:J47"/>
    <mergeCell ref="D49:E49"/>
    <mergeCell ref="L33:M33"/>
    <mergeCell ref="F43:H43"/>
    <mergeCell ref="K48:M48"/>
    <mergeCell ref="L35:M35"/>
    <mergeCell ref="H5:M5"/>
    <mergeCell ref="H8:J8"/>
    <mergeCell ref="F44:H44"/>
    <mergeCell ref="B7:G7"/>
    <mergeCell ref="I51:J51"/>
    <mergeCell ref="B22:M22"/>
    <mergeCell ref="K51:M51"/>
    <mergeCell ref="I50:J50"/>
    <mergeCell ref="B12:M12"/>
    <mergeCell ref="F42:H42"/>
    <mergeCell ref="K50:M50"/>
    <mergeCell ref="I49:J49"/>
    <mergeCell ref="B14:M14"/>
    <mergeCell ref="D46:E46"/>
    <mergeCell ref="L37:M37"/>
    <mergeCell ref="K43:M43"/>
    <mergeCell ref="K52:M52"/>
    <mergeCell ref="B29:M29"/>
    <mergeCell ref="F46:H46"/>
    <mergeCell ref="K42:M42"/>
    <mergeCell ref="F48:H48"/>
    <mergeCell ref="B55:M55"/>
    <mergeCell ref="B6:G6"/>
    <mergeCell ref="B24:M24"/>
    <mergeCell ref="D43:E43"/>
    <mergeCell ref="B26:M26"/>
    <mergeCell ref="B41:M41"/>
    <mergeCell ref="L36:M36"/>
    <mergeCell ref="I48:J48"/>
    <mergeCell ref="B16:M16"/>
    <mergeCell ref="L34:M34"/>
    <mergeCell ref="B25:M25"/>
    <mergeCell ref="D42:E42"/>
    <mergeCell ref="B3:M3"/>
    <mergeCell ref="B27:M27"/>
    <mergeCell ref="B18:M18"/>
    <mergeCell ref="D50:E50"/>
    <mergeCell ref="D44:E44"/>
    <mergeCell ref="H6:M6"/>
  </mergeCells>
  <pageMargins left="0.7" right="0.7" top="0.75" bottom="0.75" header="0.3" footer="0.3"/>
  <pageSetup orientation="portrait" paperSize="9" fitToHeight="0" fitToWidth="1" horizontalDpi="0" verticalDpi="0"/>
  <rowBreaks count="3" manualBreakCount="3">
    <brk id="17" min="0" max="16383" man="1"/>
    <brk id="28" min="0" max="16383" man="1"/>
    <brk id="54"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HP</dc:creator>
  <dcterms:created xmlns:dcterms="http://purl.org/dc/terms/" xmlns:xsi="http://www.w3.org/2001/XMLSchema-instance" xsi:type="dcterms:W3CDTF">2018-08-12T15:41:46Z</dcterms:created>
  <dcterms:modified xmlns:dcterms="http://purl.org/dc/terms/" xmlns:xsi="http://www.w3.org/2001/XMLSchema-instance" xsi:type="dcterms:W3CDTF">2026-09-29T03:52:08Z</dcterms:modified>
  <cp:lastModifiedBy>mesus</cp:lastModifiedBy>
</cp:coreProperties>
</file>